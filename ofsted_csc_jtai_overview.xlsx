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<sst xmlns="http://schemas.openxmlformats.org/spreadsheetml/2006/main" count="800" uniqueCount="538">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</sst>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000226" TargetMode="External"/><Relationship Id="rId27" Type="http://schemas.openxmlformats.org/officeDocument/2006/relationships/hyperlink" Target="https://files.ofsted.gov.uk/v1/file/50000222" TargetMode="External"/><Relationship Id="rId28" Type="http://schemas.openxmlformats.org/officeDocument/2006/relationships/hyperlink" Target="https://files.ofsted.gov.uk/v1/file/50148145" TargetMode="External"/><Relationship Id="rId29" Type="http://schemas.openxmlformats.org/officeDocument/2006/relationships/hyperlink" Target="https://files.ofsted.gov.uk/v1/file/50271495" TargetMode="External"/><Relationship Id="rId30" Type="http://schemas.openxmlformats.org/officeDocument/2006/relationships/hyperlink" Target="https://files.ofsted.gov.uk/v1/file/50000217" TargetMode="External"/><Relationship Id="rId31" Type="http://schemas.openxmlformats.org/officeDocument/2006/relationships/hyperlink" Target="https://files.ofsted.gov.uk/v1/file/50004431" TargetMode="External"/><Relationship Id="rId32" Type="http://schemas.openxmlformats.org/officeDocument/2006/relationships/hyperlink" Target="https://files.ofsted.gov.uk/v1/file/50024897" TargetMode="External"/><Relationship Id="rId33" Type="http://schemas.openxmlformats.org/officeDocument/2006/relationships/hyperlink" Target="https://files.ofsted.gov.uk/v1/file/50217932" TargetMode="External"/><Relationship Id="rId34" Type="http://schemas.openxmlformats.org/officeDocument/2006/relationships/hyperlink" Target="https://files.ofsted.gov.uk/v1/file/50284538" TargetMode="External"/><Relationship Id="rId35" Type="http://schemas.openxmlformats.org/officeDocument/2006/relationships/hyperlink" Target="https://files.ofsted.gov.uk/v1/file/50000225" TargetMode="External"/><Relationship Id="rId36" Type="http://schemas.openxmlformats.org/officeDocument/2006/relationships/hyperlink" Target="https://files.ofsted.gov.uk/v1/file/50052395" TargetMode="External"/><Relationship Id="rId37" Type="http://schemas.openxmlformats.org/officeDocument/2006/relationships/hyperlink" Target="https://files.ofsted.gov.uk/v1/file/50206436" TargetMode="External"/><Relationship Id="rId38" Type="http://schemas.openxmlformats.org/officeDocument/2006/relationships/hyperlink" Target="https://files.ofsted.gov.uk/v1/file/50239374" TargetMode="External"/><Relationship Id="rId39" Type="http://schemas.openxmlformats.org/officeDocument/2006/relationships/hyperlink" Target="https://files.ofsted.gov.uk/v1/file/50256172" TargetMode="External"/><Relationship Id="rId40" Type="http://schemas.openxmlformats.org/officeDocument/2006/relationships/hyperlink" Target="https://files.ofsted.gov.uk/v1/file/50227080" TargetMode="External"/><Relationship Id="rId41" Type="http://schemas.openxmlformats.org/officeDocument/2006/relationships/hyperlink" Target="https://files.ofsted.gov.uk/v1/file/50234228" TargetMode="External"/><Relationship Id="rId42" Type="http://schemas.openxmlformats.org/officeDocument/2006/relationships/hyperlink" Target="https://files.ofsted.gov.uk/v1/file/50009659" TargetMode="External"/><Relationship Id="rId43" Type="http://schemas.openxmlformats.org/officeDocument/2006/relationships/hyperlink" Target="https://files.ofsted.gov.uk/v1/file/50134651" TargetMode="External"/><Relationship Id="rId44" Type="http://schemas.openxmlformats.org/officeDocument/2006/relationships/hyperlink" Target="https://files.ofsted.gov.uk/v1/file/50269826" TargetMode="External"/><Relationship Id="rId45" Type="http://schemas.openxmlformats.org/officeDocument/2006/relationships/hyperlink" Target="https://files.ofsted.gov.uk/v1/file/50272930" TargetMode="External"/><Relationship Id="rId46"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7"/>
  <sheetViews>
    <sheetView tabSelected="1" workbookViewId="0"/>
  </sheetViews>
  <sheetFormatPr defaultRowHeight="15"/>
  <sheetData>
    <row r="1" spans="1:18">
      <c r="A1" s="1" t="s">
        <v>520</v>
      </c>
      <c r="B1" s="1" t="s">
        <v>521</v>
      </c>
      <c r="C1" s="1" t="s">
        <v>522</v>
      </c>
      <c r="D1" s="1" t="s">
        <v>523</v>
      </c>
      <c r="E1" s="1" t="s">
        <v>524</v>
      </c>
      <c r="F1" s="1" t="s">
        <v>525</v>
      </c>
      <c r="G1" s="1" t="s">
        <v>526</v>
      </c>
      <c r="H1" s="1" t="s">
        <v>527</v>
      </c>
      <c r="I1" s="1" t="s">
        <v>528</v>
      </c>
      <c r="J1" s="1" t="s">
        <v>529</v>
      </c>
      <c r="K1" s="1" t="s">
        <v>530</v>
      </c>
      <c r="L1" s="1" t="s">
        <v>531</v>
      </c>
      <c r="M1" s="1" t="s">
        <v>532</v>
      </c>
      <c r="N1" s="1" t="s">
        <v>533</v>
      </c>
      <c r="O1" s="1" t="s">
        <v>534</v>
      </c>
      <c r="P1" s="1" t="s">
        <v>535</v>
      </c>
      <c r="Q1" s="1" t="s">
        <v>536</v>
      </c>
      <c r="R1" s="1" t="s">
        <v>537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290</v>
      </c>
      <c r="J27" s="3">
        <f>HYPERLINK(".\.\export_data\inspection_reports\80484_lincolnshire", ".\export_data\inspection_reports\80484_lincolnshire")</f>
        <v>0</v>
      </c>
      <c r="K27" t="s">
        <v>291</v>
      </c>
      <c r="L27" t="s">
        <v>9</v>
      </c>
      <c r="M27" t="s">
        <v>292</v>
      </c>
      <c r="N27" t="s">
        <v>293</v>
      </c>
      <c r="O27" t="s">
        <v>9</v>
      </c>
      <c r="P27" t="s">
        <v>9</v>
      </c>
      <c r="Q27" t="s">
        <v>82</v>
      </c>
      <c r="R27" t="s">
        <v>294</v>
      </c>
    </row>
    <row r="28" spans="1:18">
      <c r="A28" t="s">
        <v>295</v>
      </c>
      <c r="B28" t="s">
        <v>296</v>
      </c>
      <c r="C28" t="s">
        <v>27</v>
      </c>
      <c r="D28" t="s">
        <v>297</v>
      </c>
      <c r="E28" t="s">
        <v>298</v>
      </c>
      <c r="F28" t="s">
        <v>299</v>
      </c>
      <c r="G28" s="2" t="s">
        <v>300</v>
      </c>
      <c r="H28" t="s">
        <v>301</v>
      </c>
      <c r="I28" t="s">
        <v>302</v>
      </c>
      <c r="J28" s="3">
        <f>HYPERLINK(".\.\export_data\inspection_reports\80485_liverpool", ".\export_data\inspection_reports\80485_liverpool")</f>
        <v>0</v>
      </c>
      <c r="K28" t="s">
        <v>303</v>
      </c>
      <c r="L28" t="s">
        <v>304</v>
      </c>
      <c r="M28" t="s">
        <v>305</v>
      </c>
      <c r="N28" t="s">
        <v>306</v>
      </c>
      <c r="O28" t="s">
        <v>9</v>
      </c>
      <c r="P28" t="s">
        <v>9</v>
      </c>
      <c r="Q28" t="s">
        <v>307</v>
      </c>
      <c r="R28" t="s">
        <v>308</v>
      </c>
    </row>
    <row r="29" spans="1:18">
      <c r="A29" t="s">
        <v>309</v>
      </c>
      <c r="B29" t="s">
        <v>310</v>
      </c>
      <c r="C29" t="s">
        <v>311</v>
      </c>
      <c r="D29" t="s">
        <v>312</v>
      </c>
      <c r="E29" t="s">
        <v>313</v>
      </c>
      <c r="F29" t="s">
        <v>314</v>
      </c>
      <c r="G29" s="2" t="s">
        <v>315</v>
      </c>
      <c r="H29" t="s">
        <v>316</v>
      </c>
      <c r="I29" t="s">
        <v>316</v>
      </c>
      <c r="J29" s="3">
        <f>HYPERLINK(".\.\export_data\inspection_reports\80488_bexley", ".\export_data\inspection_reports\80488_bexley")</f>
        <v>0</v>
      </c>
      <c r="K29" t="s">
        <v>317</v>
      </c>
      <c r="L29" t="s">
        <v>9</v>
      </c>
      <c r="M29" t="s">
        <v>318</v>
      </c>
      <c r="N29" t="s">
        <v>319</v>
      </c>
      <c r="O29" t="s">
        <v>9</v>
      </c>
      <c r="P29" t="s">
        <v>9</v>
      </c>
      <c r="Q29" t="s">
        <v>82</v>
      </c>
      <c r="R29" t="s">
        <v>320</v>
      </c>
    </row>
    <row r="30" spans="1:18">
      <c r="A30" t="s">
        <v>321</v>
      </c>
      <c r="B30" t="s">
        <v>322</v>
      </c>
      <c r="C30" t="s">
        <v>311</v>
      </c>
      <c r="D30" t="s">
        <v>323</v>
      </c>
      <c r="E30" t="s">
        <v>324</v>
      </c>
      <c r="F30" t="s">
        <v>325</v>
      </c>
      <c r="G30" s="2" t="s">
        <v>326</v>
      </c>
      <c r="H30" t="s">
        <v>327</v>
      </c>
      <c r="I30" t="s">
        <v>327</v>
      </c>
      <c r="J30" s="3">
        <f>HYPERLINK(".\.\export_data\inspection_reports\80490_bromley", ".\export_data\inspection_reports\80490_bromley")</f>
        <v>0</v>
      </c>
      <c r="K30" t="s">
        <v>328</v>
      </c>
      <c r="L30" t="s">
        <v>9</v>
      </c>
      <c r="M30" t="s">
        <v>9</v>
      </c>
      <c r="N30" t="s">
        <v>329</v>
      </c>
      <c r="O30" t="s">
        <v>330</v>
      </c>
      <c r="P30" t="s">
        <v>331</v>
      </c>
      <c r="Q30" t="s">
        <v>12</v>
      </c>
      <c r="R30" t="s">
        <v>9</v>
      </c>
    </row>
    <row r="31" spans="1:18">
      <c r="A31" t="s">
        <v>332</v>
      </c>
      <c r="B31" t="s">
        <v>333</v>
      </c>
      <c r="C31" t="s">
        <v>311</v>
      </c>
      <c r="D31" t="s">
        <v>334</v>
      </c>
      <c r="E31" t="s">
        <v>335</v>
      </c>
      <c r="F31" t="s">
        <v>336</v>
      </c>
      <c r="G31" s="2" t="s">
        <v>337</v>
      </c>
      <c r="H31" t="s">
        <v>338</v>
      </c>
      <c r="I31" t="s">
        <v>338</v>
      </c>
      <c r="J31" s="3">
        <f>HYPERLINK(".\.\export_data\inspection_reports\80492_croydon", ".\export_data\inspection_reports\80492_croydon")</f>
        <v>0</v>
      </c>
      <c r="K31" t="s">
        <v>339</v>
      </c>
      <c r="L31" t="s">
        <v>9</v>
      </c>
      <c r="M31" t="s">
        <v>340</v>
      </c>
      <c r="N31" t="s">
        <v>341</v>
      </c>
      <c r="O31" t="s">
        <v>9</v>
      </c>
      <c r="P31" t="s">
        <v>9</v>
      </c>
      <c r="Q31" t="s">
        <v>82</v>
      </c>
      <c r="R31" t="s">
        <v>342</v>
      </c>
    </row>
    <row r="32" spans="1:18">
      <c r="A32" t="s">
        <v>343</v>
      </c>
      <c r="B32" t="s">
        <v>344</v>
      </c>
      <c r="C32" t="s">
        <v>311</v>
      </c>
      <c r="D32" t="s">
        <v>345</v>
      </c>
      <c r="E32" t="s">
        <v>346</v>
      </c>
      <c r="F32" t="s">
        <v>347</v>
      </c>
      <c r="G32" s="2" t="s">
        <v>348</v>
      </c>
      <c r="H32" t="s">
        <v>349</v>
      </c>
      <c r="I32" t="s">
        <v>349</v>
      </c>
      <c r="J32" s="3">
        <f>HYPERLINK(".\.\export_data\inspection_reports\80495_greenwich", ".\export_data\inspection_reports\80495_greenwich")</f>
        <v>0</v>
      </c>
      <c r="K32" t="s">
        <v>350</v>
      </c>
      <c r="L32" t="s">
        <v>9</v>
      </c>
      <c r="M32" t="s">
        <v>351</v>
      </c>
      <c r="N32" t="s">
        <v>352</v>
      </c>
      <c r="O32" t="s">
        <v>9</v>
      </c>
      <c r="P32" t="s">
        <v>9</v>
      </c>
      <c r="Q32" t="s">
        <v>82</v>
      </c>
      <c r="R32" t="s">
        <v>353</v>
      </c>
    </row>
    <row r="33" spans="1:18">
      <c r="A33" t="s">
        <v>354</v>
      </c>
      <c r="B33" t="s">
        <v>355</v>
      </c>
      <c r="C33" t="s">
        <v>311</v>
      </c>
      <c r="D33" t="s">
        <v>356</v>
      </c>
      <c r="E33" t="s">
        <v>357</v>
      </c>
      <c r="F33" t="s">
        <v>358</v>
      </c>
      <c r="G33" s="2" t="s">
        <v>359</v>
      </c>
      <c r="H33" t="s">
        <v>360</v>
      </c>
      <c r="I33" t="s">
        <v>360</v>
      </c>
      <c r="J33" s="3">
        <f>HYPERLINK(".\.\export_data\inspection_reports\80498_haringey", ".\export_data\inspection_reports\80498_haringey")</f>
        <v>0</v>
      </c>
      <c r="K33" t="s">
        <v>361</v>
      </c>
      <c r="L33" t="s">
        <v>9</v>
      </c>
      <c r="M33" t="s">
        <v>362</v>
      </c>
      <c r="N33" t="s">
        <v>363</v>
      </c>
      <c r="O33" t="s">
        <v>9</v>
      </c>
      <c r="P33" t="s">
        <v>9</v>
      </c>
      <c r="Q33" t="s">
        <v>82</v>
      </c>
      <c r="R33" t="s">
        <v>364</v>
      </c>
    </row>
    <row r="34" spans="1:18">
      <c r="A34" t="s">
        <v>365</v>
      </c>
      <c r="B34" t="s">
        <v>366</v>
      </c>
      <c r="C34" t="s">
        <v>311</v>
      </c>
      <c r="D34" t="s">
        <v>367</v>
      </c>
      <c r="E34" t="s">
        <v>368</v>
      </c>
      <c r="F34" t="s">
        <v>369</v>
      </c>
      <c r="G34" s="2" t="s">
        <v>370</v>
      </c>
      <c r="H34" t="s">
        <v>371</v>
      </c>
      <c r="I34" t="s">
        <v>371</v>
      </c>
      <c r="J34" s="3">
        <f>HYPERLINK(".\.\export_data\inspection_reports\80499_harrow", ".\export_data\inspection_reports\80499_harrow")</f>
        <v>0</v>
      </c>
      <c r="K34" t="s">
        <v>372</v>
      </c>
      <c r="L34" t="s">
        <v>9</v>
      </c>
      <c r="M34" t="s">
        <v>9</v>
      </c>
      <c r="N34" t="s">
        <v>373</v>
      </c>
      <c r="O34" t="s">
        <v>374</v>
      </c>
      <c r="P34" t="s">
        <v>375</v>
      </c>
      <c r="Q34" t="s">
        <v>12</v>
      </c>
      <c r="R34" t="s">
        <v>9</v>
      </c>
    </row>
    <row r="35" spans="1:18">
      <c r="A35" t="s">
        <v>376</v>
      </c>
      <c r="B35" t="s">
        <v>377</v>
      </c>
      <c r="C35" t="s">
        <v>311</v>
      </c>
      <c r="D35" t="s">
        <v>378</v>
      </c>
      <c r="E35" t="s">
        <v>379</v>
      </c>
      <c r="F35" t="s">
        <v>380</v>
      </c>
      <c r="G35" s="2" t="s">
        <v>381</v>
      </c>
      <c r="H35" t="s">
        <v>382</v>
      </c>
      <c r="I35" t="s">
        <v>382</v>
      </c>
      <c r="J35" s="3">
        <f>HYPERLINK(".\.\export_data\inspection_reports\80501_hillingdon", ".\export_data\inspection_reports\80501_hillingdon")</f>
        <v>0</v>
      </c>
      <c r="K35" t="s">
        <v>383</v>
      </c>
      <c r="L35" t="s">
        <v>9</v>
      </c>
      <c r="M35" t="s">
        <v>9</v>
      </c>
      <c r="N35" t="s">
        <v>384</v>
      </c>
      <c r="O35" t="s">
        <v>385</v>
      </c>
      <c r="P35" t="s">
        <v>386</v>
      </c>
      <c r="Q35" t="s">
        <v>12</v>
      </c>
      <c r="R35" t="s">
        <v>9</v>
      </c>
    </row>
    <row r="36" spans="1:18">
      <c r="A36" t="s">
        <v>387</v>
      </c>
      <c r="B36" t="s">
        <v>388</v>
      </c>
      <c r="C36" t="s">
        <v>311</v>
      </c>
      <c r="D36" t="s">
        <v>389</v>
      </c>
      <c r="E36" t="s">
        <v>390</v>
      </c>
      <c r="F36" t="s">
        <v>391</v>
      </c>
      <c r="G36" s="2" t="s">
        <v>392</v>
      </c>
      <c r="H36" t="s">
        <v>393</v>
      </c>
      <c r="I36" t="s">
        <v>393</v>
      </c>
      <c r="J36" s="3">
        <f>HYPERLINK(".\.\export_data\inspection_reports\80503_hounslow", ".\export_data\inspection_reports\80503_hounslow")</f>
        <v>0</v>
      </c>
      <c r="K36" t="s">
        <v>394</v>
      </c>
      <c r="L36" t="s">
        <v>9</v>
      </c>
      <c r="M36" t="s">
        <v>395</v>
      </c>
      <c r="N36" t="s">
        <v>396</v>
      </c>
      <c r="O36" t="s">
        <v>9</v>
      </c>
      <c r="P36" t="s">
        <v>9</v>
      </c>
      <c r="Q36" t="s">
        <v>82</v>
      </c>
      <c r="R36" t="s">
        <v>397</v>
      </c>
    </row>
    <row r="37" spans="1:18">
      <c r="A37" t="s">
        <v>398</v>
      </c>
      <c r="B37" t="s">
        <v>399</v>
      </c>
      <c r="C37" t="s">
        <v>311</v>
      </c>
      <c r="D37" t="s">
        <v>400</v>
      </c>
      <c r="E37" t="s">
        <v>401</v>
      </c>
      <c r="F37" t="s">
        <v>402</v>
      </c>
      <c r="G37" s="2" t="s">
        <v>403</v>
      </c>
      <c r="H37" t="s">
        <v>404</v>
      </c>
      <c r="I37" t="s">
        <v>404</v>
      </c>
      <c r="J37" s="3">
        <f>HYPERLINK(".\.\export_data\inspection_reports\80505_islington", ".\export_data\inspection_reports\80505_islington")</f>
        <v>0</v>
      </c>
      <c r="K37" t="s">
        <v>405</v>
      </c>
      <c r="L37" t="s">
        <v>9</v>
      </c>
      <c r="M37" t="s">
        <v>406</v>
      </c>
      <c r="N37" t="s">
        <v>407</v>
      </c>
      <c r="O37" t="s">
        <v>9</v>
      </c>
      <c r="P37" t="s">
        <v>9</v>
      </c>
      <c r="Q37" t="s">
        <v>12</v>
      </c>
      <c r="R37" t="s">
        <v>9</v>
      </c>
    </row>
    <row r="38" spans="1:18">
      <c r="A38" t="s">
        <v>408</v>
      </c>
      <c r="B38" t="s">
        <v>409</v>
      </c>
      <c r="C38" t="s">
        <v>311</v>
      </c>
      <c r="D38" t="s">
        <v>410</v>
      </c>
      <c r="E38" t="s">
        <v>411</v>
      </c>
      <c r="F38" t="s">
        <v>412</v>
      </c>
      <c r="G38" s="2" t="s">
        <v>413</v>
      </c>
      <c r="H38" t="s">
        <v>414</v>
      </c>
      <c r="I38" t="s">
        <v>414</v>
      </c>
      <c r="J38" s="3">
        <f>HYPERLINK(".\.\export_data\inspection_reports\80508_lewisham", ".\export_data\inspection_reports\80508_lewisham")</f>
        <v>0</v>
      </c>
      <c r="K38" t="s">
        <v>415</v>
      </c>
      <c r="L38" t="s">
        <v>9</v>
      </c>
      <c r="M38" t="s">
        <v>9</v>
      </c>
      <c r="N38" t="s">
        <v>416</v>
      </c>
      <c r="O38" t="s">
        <v>417</v>
      </c>
      <c r="P38" t="s">
        <v>418</v>
      </c>
      <c r="Q38" t="s">
        <v>12</v>
      </c>
      <c r="R38" t="s">
        <v>9</v>
      </c>
    </row>
    <row r="39" spans="1:18">
      <c r="A39" t="s">
        <v>419</v>
      </c>
      <c r="B39" t="s">
        <v>420</v>
      </c>
      <c r="C39" t="s">
        <v>311</v>
      </c>
      <c r="D39" t="s">
        <v>421</v>
      </c>
      <c r="E39" t="s">
        <v>422</v>
      </c>
      <c r="F39" t="s">
        <v>423</v>
      </c>
      <c r="G39" s="2" t="s">
        <v>424</v>
      </c>
      <c r="H39" t="s">
        <v>425</v>
      </c>
      <c r="I39" t="s">
        <v>425</v>
      </c>
      <c r="J39" s="3">
        <f>HYPERLINK(".\.\export_data\inspection_reports\80510_merton", ".\export_data\inspection_reports\80510_merton")</f>
        <v>0</v>
      </c>
      <c r="K39" t="s">
        <v>426</v>
      </c>
      <c r="L39" t="s">
        <v>9</v>
      </c>
      <c r="M39" t="s">
        <v>9</v>
      </c>
      <c r="N39" t="s">
        <v>427</v>
      </c>
      <c r="O39" t="s">
        <v>428</v>
      </c>
      <c r="P39" t="s">
        <v>429</v>
      </c>
      <c r="Q39" t="s">
        <v>12</v>
      </c>
      <c r="R39" t="s">
        <v>9</v>
      </c>
    </row>
    <row r="40" spans="1:18">
      <c r="A40" t="s">
        <v>430</v>
      </c>
      <c r="B40" t="s">
        <v>431</v>
      </c>
      <c r="C40" t="s">
        <v>311</v>
      </c>
      <c r="D40" t="s">
        <v>432</v>
      </c>
      <c r="E40" t="s">
        <v>433</v>
      </c>
      <c r="F40" t="s">
        <v>434</v>
      </c>
      <c r="G40" s="2" t="s">
        <v>435</v>
      </c>
      <c r="H40" t="s">
        <v>436</v>
      </c>
      <c r="I40" t="s">
        <v>436</v>
      </c>
      <c r="J40" s="3">
        <f>HYPERLINK(".\.\export_data\inspection_reports\80513_richmond upon thames", ".\export_data\inspection_reports\80513_richmond upon thames")</f>
        <v>0</v>
      </c>
      <c r="K40" t="s">
        <v>437</v>
      </c>
      <c r="L40" t="s">
        <v>9</v>
      </c>
      <c r="M40" t="s">
        <v>9</v>
      </c>
      <c r="N40" t="s">
        <v>438</v>
      </c>
      <c r="O40" t="s">
        <v>439</v>
      </c>
      <c r="P40" t="s">
        <v>440</v>
      </c>
      <c r="Q40" t="s">
        <v>12</v>
      </c>
      <c r="R40" t="s">
        <v>9</v>
      </c>
    </row>
    <row r="41" spans="1:18">
      <c r="A41" t="s">
        <v>441</v>
      </c>
      <c r="B41" t="s">
        <v>442</v>
      </c>
      <c r="C41" t="s">
        <v>311</v>
      </c>
      <c r="D41" t="s">
        <v>443</v>
      </c>
      <c r="E41" t="s">
        <v>444</v>
      </c>
      <c r="F41" t="s">
        <v>445</v>
      </c>
      <c r="G41" s="2" t="s">
        <v>446</v>
      </c>
      <c r="H41" t="s">
        <v>447</v>
      </c>
      <c r="I41" t="s">
        <v>447</v>
      </c>
      <c r="J41" s="3">
        <f>HYPERLINK(".\.\export_data\inspection_reports\80515_sutton", ".\export_data\inspection_reports\80515_sutton")</f>
        <v>0</v>
      </c>
      <c r="K41" t="s">
        <v>448</v>
      </c>
      <c r="L41" t="s">
        <v>9</v>
      </c>
      <c r="M41" t="s">
        <v>9</v>
      </c>
      <c r="N41" t="s">
        <v>449</v>
      </c>
      <c r="O41" t="s">
        <v>450</v>
      </c>
      <c r="P41" t="s">
        <v>451</v>
      </c>
      <c r="Q41" t="s">
        <v>12</v>
      </c>
      <c r="R41" t="s">
        <v>9</v>
      </c>
    </row>
    <row r="42" spans="1:18">
      <c r="A42" t="s">
        <v>452</v>
      </c>
      <c r="B42" t="s">
        <v>453</v>
      </c>
      <c r="C42" t="s">
        <v>27</v>
      </c>
      <c r="D42" t="s">
        <v>454</v>
      </c>
      <c r="E42" t="s">
        <v>455</v>
      </c>
      <c r="F42" t="s">
        <v>456</v>
      </c>
      <c r="G42" s="2" t="s">
        <v>457</v>
      </c>
      <c r="H42" t="s">
        <v>458</v>
      </c>
      <c r="I42" t="s">
        <v>458</v>
      </c>
      <c r="J42" s="3">
        <f>HYPERLINK(".\.\export_data\inspection_reports\80521_manchester", ".\export_data\inspection_reports\80521_manchester")</f>
        <v>0</v>
      </c>
      <c r="K42" t="s">
        <v>459</v>
      </c>
      <c r="L42" t="s">
        <v>9</v>
      </c>
      <c r="M42" t="s">
        <v>9</v>
      </c>
      <c r="N42" t="s">
        <v>460</v>
      </c>
      <c r="O42" t="s">
        <v>461</v>
      </c>
      <c r="P42" t="s">
        <v>462</v>
      </c>
      <c r="Q42" t="s">
        <v>12</v>
      </c>
      <c r="R42" t="s">
        <v>9</v>
      </c>
    </row>
    <row r="43" spans="1:18">
      <c r="A43" t="s">
        <v>463</v>
      </c>
      <c r="B43" t="s">
        <v>464</v>
      </c>
      <c r="C43" t="s">
        <v>465</v>
      </c>
      <c r="D43" t="s">
        <v>466</v>
      </c>
      <c r="E43" t="s">
        <v>467</v>
      </c>
      <c r="F43" t="s">
        <v>468</v>
      </c>
      <c r="G43" s="2" t="s">
        <v>469</v>
      </c>
      <c r="H43" t="s">
        <v>470</v>
      </c>
      <c r="I43" t="s">
        <v>470</v>
      </c>
      <c r="J43" s="3">
        <f>HYPERLINK(".\.\export_data\inspection_reports\80522_medway", ".\export_data\inspection_reports\80522_medway")</f>
        <v>0</v>
      </c>
      <c r="K43" t="s">
        <v>471</v>
      </c>
      <c r="L43" t="s">
        <v>9</v>
      </c>
      <c r="M43" t="s">
        <v>472</v>
      </c>
      <c r="N43" t="s">
        <v>473</v>
      </c>
      <c r="O43" t="s">
        <v>9</v>
      </c>
      <c r="P43" t="s">
        <v>9</v>
      </c>
      <c r="Q43" t="s">
        <v>474</v>
      </c>
      <c r="R43" t="s">
        <v>475</v>
      </c>
    </row>
    <row r="44" spans="1:18">
      <c r="A44" t="s">
        <v>476</v>
      </c>
      <c r="B44" t="s">
        <v>477</v>
      </c>
      <c r="C44" t="s">
        <v>50</v>
      </c>
      <c r="D44" t="s">
        <v>478</v>
      </c>
      <c r="E44" t="s">
        <v>479</v>
      </c>
      <c r="F44" t="s">
        <v>480</v>
      </c>
      <c r="G44" s="2" t="s">
        <v>481</v>
      </c>
      <c r="H44" t="s">
        <v>482</v>
      </c>
      <c r="I44" t="s">
        <v>482</v>
      </c>
      <c r="J44" s="3">
        <f>HYPERLINK(".\.\export_data\inspection_reports\80524_milton keynes", ".\export_data\inspection_reports\80524_milton keynes")</f>
        <v>0</v>
      </c>
      <c r="K44" t="s">
        <v>483</v>
      </c>
      <c r="L44" t="s">
        <v>9</v>
      </c>
      <c r="M44" t="s">
        <v>484</v>
      </c>
      <c r="N44" t="s">
        <v>485</v>
      </c>
      <c r="O44" t="s">
        <v>9</v>
      </c>
      <c r="P44" t="s">
        <v>9</v>
      </c>
      <c r="Q44" t="s">
        <v>82</v>
      </c>
      <c r="R44" t="s">
        <v>486</v>
      </c>
    </row>
    <row r="45" spans="1:18">
      <c r="A45" t="s">
        <v>487</v>
      </c>
      <c r="B45" t="s">
        <v>488</v>
      </c>
      <c r="C45" t="s">
        <v>15</v>
      </c>
      <c r="D45" t="s">
        <v>489</v>
      </c>
      <c r="E45" t="s">
        <v>490</v>
      </c>
      <c r="F45" t="s">
        <v>491</v>
      </c>
      <c r="G45" s="2" t="s">
        <v>492</v>
      </c>
      <c r="H45" t="s">
        <v>493</v>
      </c>
      <c r="I45" t="s">
        <v>493</v>
      </c>
      <c r="J45" s="3">
        <f>HYPERLINK(".\.\export_data\inspection_reports\80418_norfolk", ".\export_data\inspection_reports\80418_norfolk")</f>
        <v>0</v>
      </c>
      <c r="K45" t="s">
        <v>494</v>
      </c>
      <c r="L45" t="s">
        <v>9</v>
      </c>
      <c r="M45" t="s">
        <v>9</v>
      </c>
      <c r="N45" t="s">
        <v>495</v>
      </c>
      <c r="O45" t="s">
        <v>496</v>
      </c>
      <c r="P45" t="s">
        <v>497</v>
      </c>
      <c r="Q45" t="s">
        <v>12</v>
      </c>
      <c r="R45" t="s">
        <v>9</v>
      </c>
    </row>
    <row r="46" spans="1:18">
      <c r="A46" t="s">
        <v>498</v>
      </c>
      <c r="B46" t="s">
        <v>499</v>
      </c>
      <c r="C46" t="s">
        <v>2</v>
      </c>
      <c r="D46" t="s">
        <v>500</v>
      </c>
      <c r="E46" t="s">
        <v>501</v>
      </c>
      <c r="F46" t="s">
        <v>502</v>
      </c>
      <c r="G46" s="2" t="s">
        <v>503</v>
      </c>
      <c r="H46" t="s">
        <v>504</v>
      </c>
      <c r="I46" t="s">
        <v>504</v>
      </c>
      <c r="J46" s="3">
        <f>HYPERLINK(".\.\export_data\inspection_reports\80530_north yorkshire", ".\export_data\inspection_reports\80530_north yorkshire")</f>
        <v>0</v>
      </c>
      <c r="K46" t="s">
        <v>505</v>
      </c>
      <c r="L46" t="s">
        <v>9</v>
      </c>
      <c r="M46" t="s">
        <v>9</v>
      </c>
      <c r="N46" t="s">
        <v>506</v>
      </c>
      <c r="O46" t="s">
        <v>507</v>
      </c>
      <c r="P46" t="s">
        <v>508</v>
      </c>
      <c r="Q46" t="s">
        <v>12</v>
      </c>
      <c r="R46" t="s">
        <v>9</v>
      </c>
    </row>
    <row r="47" spans="1:18">
      <c r="A47" t="s">
        <v>509</v>
      </c>
      <c r="B47" t="s">
        <v>510</v>
      </c>
      <c r="C47" t="s">
        <v>185</v>
      </c>
      <c r="D47" t="s">
        <v>511</v>
      </c>
      <c r="E47" t="s">
        <v>512</v>
      </c>
      <c r="F47" t="s">
        <v>513</v>
      </c>
      <c r="G47" s="2" t="s">
        <v>514</v>
      </c>
      <c r="H47" t="s">
        <v>515</v>
      </c>
      <c r="I47" t="s">
        <v>515</v>
      </c>
      <c r="J47" s="3">
        <f>HYPERLINK(".\.\export_data\inspection_reports\80532_northumberland", ".\export_data\inspection_reports\80532_northumberland")</f>
        <v>0</v>
      </c>
      <c r="K47" t="s">
        <v>516</v>
      </c>
      <c r="L47" t="s">
        <v>9</v>
      </c>
      <c r="M47" t="s">
        <v>517</v>
      </c>
      <c r="N47" t="s">
        <v>518</v>
      </c>
      <c r="O47" t="s">
        <v>9</v>
      </c>
      <c r="P47" t="s">
        <v>9</v>
      </c>
      <c r="Q47" t="s">
        <v>82</v>
      </c>
      <c r="R47" t="s">
        <v>519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2026-01-19T05:13:39Z</dcterms:created>
  <dcterms:modified xsi:type="dcterms:W3CDTF">2026-01-19T05:13:39Z</dcterms:modified>
</cp:coreProperties>
</file>